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-Transaction Costs" sheetId="1" state="visible" r:id="rId3"/>
    <sheet name="Monthly Fixed Costs" sheetId="2" state="visible" r:id="rId4"/>
    <sheet name="Breakeven Analysis" sheetId="3" state="visible" r:id="rId5"/>
    <sheet name="Pricing Strategy" sheetId="4" state="visible" r:id="rId6"/>
    <sheet name="Key Takeaway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<sst xmlns="http://schemas.openxmlformats.org/spreadsheetml/2006/main" count="176" uniqueCount="175">
  <si>
    <t xml:space="preserve">SPLITT. — PER-TRANSACTION COST MODEL</t>
  </si>
  <si>
    <t xml:space="preserve">What does each split actually cost us?</t>
  </si>
  <si>
    <t xml:space="preserve">TRANSACTION ASSUMPTIONS</t>
  </si>
  <si>
    <t xml:space="preserve">Average transaction amount</t>
  </si>
  <si>
    <t xml:space="preserve">Source: Typical consumer purchase size</t>
  </si>
  <si>
    <t xml:space="preserve">Average number of cards in split</t>
  </si>
  <si>
    <t xml:space="preserve">Source: Assumption — most users split across 2-3 cards</t>
  </si>
  <si>
    <t xml:space="preserve">Average amount per secondary card charge</t>
  </si>
  <si>
    <t xml:space="preserve">Total / Cards in split</t>
  </si>
  <si>
    <t xml:space="preserve">STRIPE FEES — Secondary Card Charges</t>
  </si>
  <si>
    <t xml:space="preserve">Source: stripe.com/pricing</t>
  </si>
  <si>
    <t xml:space="preserve">Stripe % fee per charge</t>
  </si>
  <si>
    <t xml:space="preserve">Stripe fixed fee per charge</t>
  </si>
  <si>
    <t xml:space="preserve">Number of secondary card charges per split</t>
  </si>
  <si>
    <t xml:space="preserve">Total cards minus the Lithic card itself</t>
  </si>
  <si>
    <t xml:space="preserve">Amount charged per secondary card</t>
  </si>
  <si>
    <t xml:space="preserve">Stripe fee per secondary charge</t>
  </si>
  <si>
    <t xml:space="preserve">TOTAL Stripe fees per split transaction</t>
  </si>
  <si>
    <t xml:space="preserve">This is the BIG cost — $0.30 fixed fee per charge adds up fast</t>
  </si>
  <si>
    <t xml:space="preserve">Stripe fee for cancelled/uncaptured holds</t>
  </si>
  <si>
    <t xml:space="preserve">Stripe does NOT charge for auth holds that are cancelled before capture</t>
  </si>
  <si>
    <t xml:space="preserve">LITHIC FEES — Card Issuing</t>
  </si>
  <si>
    <t xml:space="preserve">Source: Lithic Starter program (lithic.com)</t>
  </si>
  <si>
    <t xml:space="preserve">Lithic per-card creation fee (virtual)</t>
  </si>
  <si>
    <t xml:space="preserve">Lithic per-transaction fee (authorization)</t>
  </si>
  <si>
    <t xml:space="preserve">Starter program: no per-auth fee (revenue comes from interchange share)</t>
  </si>
  <si>
    <t xml:space="preserve">Cards created per user (one-time)</t>
  </si>
  <si>
    <t xml:space="preserve">Lithic card cost amortized per transaction</t>
  </si>
  <si>
    <t xml:space="preserve">Amortized over 50 transactions per user lifetime</t>
  </si>
  <si>
    <t xml:space="preserve">LITHIC INTERCHANGE REVENUE (you earn this)</t>
  </si>
  <si>
    <t xml:space="preserve">Interchange share rate (first $100K/mo)</t>
  </si>
  <si>
    <t xml:space="preserve">Source: Lithic Starter — 0.2% on first $100K volume</t>
  </si>
  <si>
    <t xml:space="preserve">Interchange share rate (above $100K/mo)</t>
  </si>
  <si>
    <t xml:space="preserve">Source: Lithic Starter — 0.4% on volume above $100K</t>
  </si>
  <si>
    <t xml:space="preserve">Interchange earned per transaction (at 0.2%)</t>
  </si>
  <si>
    <t xml:space="preserve">Interchange earned per transaction (at 0.4%)</t>
  </si>
  <si>
    <t xml:space="preserve">OTHER PER-TRANSACTION COSTS</t>
  </si>
  <si>
    <t xml:space="preserve">Stripe dispute/chargeback fee (if occurs)</t>
  </si>
  <si>
    <t xml:space="preserve">Source: Stripe — $15 per dispute (refunded if you win)</t>
  </si>
  <si>
    <t xml:space="preserve">Estimated dispute rate</t>
  </si>
  <si>
    <t xml:space="preserve">Industry avg ~0.5% for card-not-present. Must stay under 1%</t>
  </si>
  <si>
    <t xml:space="preserve">Amortized dispute cost per transaction</t>
  </si>
  <si>
    <t xml:space="preserve">PER-TRANSACTION COST SUMMARY</t>
  </si>
  <si>
    <t xml:space="preserve">Total Stripe fees per split</t>
  </si>
  <si>
    <t xml:space="preserve">% of txn</t>
  </si>
  <si>
    <t xml:space="preserve">Lithic card amortization</t>
  </si>
  <si>
    <t xml:space="preserve">Amortized dispute cost</t>
  </si>
  <si>
    <t xml:space="preserve">(-) Interchange revenue earned</t>
  </si>
  <si>
    <t xml:space="preserve">NET COST PER SPLIT TRANSACTION</t>
  </si>
  <si>
    <t xml:space="preserve">NET COST PER SPLIT (at 0.4% interchange)</t>
  </si>
  <si>
    <t xml:space="preserve">SPLITT. — MONTHLY FIXED COSTS</t>
  </si>
  <si>
    <t xml:space="preserve">SERVICE</t>
  </si>
  <si>
    <t xml:space="preserve">FREE TIER</t>
  </si>
  <si>
    <t xml:space="preserve">GROWTH</t>
  </si>
  <si>
    <t xml:space="preserve">SCALE</t>
  </si>
  <si>
    <t xml:space="preserve">NOTES</t>
  </si>
  <si>
    <t xml:space="preserve">Railway (backend hosting)</t>
  </si>
  <si>
    <t xml:space="preserve">Hobby $5/mo, Pro $20/mo, usage-based beyond included credit</t>
  </si>
  <si>
    <t xml:space="preserve">Supabase (database)</t>
  </si>
  <si>
    <t xml:space="preserve">Free: 500MB, 50K MAU. Pro: $25/mo, 100K MAU, 8GB</t>
  </si>
  <si>
    <t xml:space="preserve">Vercel (web hosting)</t>
  </si>
  <si>
    <t xml:space="preserve">Hobby free (non-commercial!). Pro $20/mo required for commercial use</t>
  </si>
  <si>
    <t xml:space="preserve">Resend (email)</t>
  </si>
  <si>
    <t xml:space="preserve">Free: 3K emails/mo. Pro: $20/mo for 50K. Scale: $90/mo for 100K</t>
  </si>
  <si>
    <t xml:space="preserve">Sentry (error monitoring)</t>
  </si>
  <si>
    <t xml:space="preserve">Free: 5K errors/mo. Team: $26/mo for 50K errors</t>
  </si>
  <si>
    <t xml:space="preserve">Anthropic Claude API (AI rules)</t>
  </si>
  <si>
    <t xml:space="preserve">Haiku is cheap — ~$0.25/1M input tokens. Estimated monthly spend</t>
  </si>
  <si>
    <t xml:space="preserve">Domain (paysplitt.com)</t>
  </si>
  <si>
    <t xml:space="preserve">~$18/yr ÷ 12 = $1.50/mo</t>
  </si>
  <si>
    <t xml:space="preserve">Expo EAS (mobile builds)</t>
  </si>
  <si>
    <t xml:space="preserve">Free builds available. $99/mo for priority builds at scale</t>
  </si>
  <si>
    <t xml:space="preserve">UptimeRobot (monitoring)</t>
  </si>
  <si>
    <t xml:space="preserve">Free: 50 monitors. Pro: $7/mo</t>
  </si>
  <si>
    <t xml:space="preserve">TOTAL MONTHLY FIXED COSTS</t>
  </si>
  <si>
    <t xml:space="preserve">SPLITT. — BREAKEVEN ANALYSIS</t>
  </si>
  <si>
    <t xml:space="preserve">How many users / transactions do we need to break even?</t>
  </si>
  <si>
    <t xml:space="preserve">SCENARIO</t>
  </si>
  <si>
    <t xml:space="preserve">50 Users</t>
  </si>
  <si>
    <t xml:space="preserve">200 Users</t>
  </si>
  <si>
    <t xml:space="preserve">500 Users</t>
  </si>
  <si>
    <t xml:space="preserve">1,000 Users</t>
  </si>
  <si>
    <t xml:space="preserve">5,000 Users</t>
  </si>
  <si>
    <t xml:space="preserve">10,000 Users</t>
  </si>
  <si>
    <t xml:space="preserve">ASSUMPTIONS</t>
  </si>
  <si>
    <t xml:space="preserve">Active users</t>
  </si>
  <si>
    <t xml:space="preserve">Avg splits per user per month</t>
  </si>
  <si>
    <t xml:space="preserve">Avg transaction amount</t>
  </si>
  <si>
    <t xml:space="preserve">Avg cards per split</t>
  </si>
  <si>
    <t xml:space="preserve">MONTHLY VOLUME</t>
  </si>
  <si>
    <t xml:space="preserve">Total splits per month</t>
  </si>
  <si>
    <t xml:space="preserve">Total Stripe charges per month</t>
  </si>
  <si>
    <t xml:space="preserve">Total transaction volume ($)</t>
  </si>
  <si>
    <t xml:space="preserve">MONTHLY COSTS</t>
  </si>
  <si>
    <t xml:space="preserve">Stripe fees (variable)</t>
  </si>
  <si>
    <t xml:space="preserve">Dispute costs (estimated)</t>
  </si>
  <si>
    <t xml:space="preserve">Fixed infrastructure costs</t>
  </si>
  <si>
    <t xml:space="preserve">TOTAL MONTHLY COSTS</t>
  </si>
  <si>
    <t xml:space="preserve">MONTHLY REVENUE</t>
  </si>
  <si>
    <t xml:space="preserve">% users on Free tier</t>
  </si>
  <si>
    <t xml:space="preserve">% users on Plus ($5/mo)</t>
  </si>
  <si>
    <t xml:space="preserve">% users on Pro ($10/mo)</t>
  </si>
  <si>
    <t xml:space="preserve">Subscription revenue</t>
  </si>
  <si>
    <t xml:space="preserve">Interchange revenue (Lithic)</t>
  </si>
  <si>
    <t xml:space="preserve">TOTAL MONTHLY REVENUE</t>
  </si>
  <si>
    <t xml:space="preserve">NET MONTHLY PROFIT / (LOSS)</t>
  </si>
  <si>
    <t xml:space="preserve">Profit margin</t>
  </si>
  <si>
    <t xml:space="preserve">Cost per user per month</t>
  </si>
  <si>
    <t xml:space="preserve">Revenue per user per month (ARPU)</t>
  </si>
  <si>
    <t xml:space="preserve">SPLITT. — PRICING STRATEGY &amp; SENSITIVITY</t>
  </si>
  <si>
    <t xml:space="preserve">CURRENT PRICING</t>
  </si>
  <si>
    <t xml:space="preserve">Free tier — $0/mo</t>
  </si>
  <si>
    <t xml:space="preserve">2 cards, 1 split rule, 30 splits/mo</t>
  </si>
  <si>
    <t xml:space="preserve">Plus tier — $5/mo</t>
  </si>
  <si>
    <t xml:space="preserve">5 cards, 3 rules, 5 routing rules, unlimited splits</t>
  </si>
  <si>
    <t xml:space="preserve">Pro tier — $10/mo</t>
  </si>
  <si>
    <t xml:space="preserve">10 cards, unlimited rules, analytics, AI routing</t>
  </si>
  <si>
    <t xml:space="preserve">THE CORE ECONOMICS PROBLEM</t>
  </si>
  <si>
    <t xml:space="preserve">Stripe's $0.30 fixed fee per charge</t>
  </si>
  <si>
    <t xml:space="preserve">This is the dominant cost</t>
  </si>
  <si>
    <t xml:space="preserve">On a $75 split across 2.5 cards:</t>
  </si>
  <si>
    <t xml:space="preserve">  Each secondary charge costs</t>
  </si>
  <si>
    <t xml:space="preserve">  × 1.5 secondary charges</t>
  </si>
  <si>
    <t xml:space="preserve">  = Total Stripe cost per split</t>
  </si>
  <si>
    <t xml:space="preserve">  As % of transaction</t>
  </si>
  <si>
    <t xml:space="preserve">Free user doing 15 splits/mo costs us:</t>
  </si>
  <si>
    <t xml:space="preserve">per month — and they pay $0</t>
  </si>
  <si>
    <t xml:space="preserve">Plus user doing 15 splits/mo costs us:</t>
  </si>
  <si>
    <t xml:space="preserve">they pay $5/mo</t>
  </si>
  <si>
    <t xml:space="preserve">ALTERNATIVE: PER-SPLIT FEE MODEL</t>
  </si>
  <si>
    <t xml:space="preserve">Per-split fee charged to user</t>
  </si>
  <si>
    <t xml:space="preserve">Our cost per split</t>
  </si>
  <si>
    <t xml:space="preserve">Margin per split</t>
  </si>
  <si>
    <t xml:space="preserve">Margin % per split</t>
  </si>
  <si>
    <t xml:space="preserve">Revenue per user/mo (15 splits)</t>
  </si>
  <si>
    <t xml:space="preserve">RECOMMENDED: HYBRID MODEL</t>
  </si>
  <si>
    <t xml:space="preserve">Free: X splits/mo included, then $0.25/split</t>
  </si>
  <si>
    <t xml:space="preserve">Limits free tier losses</t>
  </si>
  <si>
    <t xml:space="preserve">Free tier included splits/month</t>
  </si>
  <si>
    <t xml:space="preserve">Overage fee per split</t>
  </si>
  <si>
    <t xml:space="preserve">Plus ($5/mo): unlimited splits</t>
  </si>
  <si>
    <t xml:space="preserve">Pro ($10/mo): unlimited splits + AI + analytics</t>
  </si>
  <si>
    <t xml:space="preserve">MAX LOSS PER FREE USER/MONTH (capped)</t>
  </si>
  <si>
    <t xml:space="preserve">vs unlimited losses with no cap</t>
  </si>
  <si>
    <t xml:space="preserve">BREAKEVEN: Plus users need to do X splits to cost $5</t>
  </si>
  <si>
    <t xml:space="preserve">splits/mo before Plus subscription covers costs</t>
  </si>
  <si>
    <t xml:space="preserve">BREAKEVEN: Pro users need to do X splits to cost $10</t>
  </si>
  <si>
    <t xml:space="preserve">splits/mo before Pro subscription covers costs</t>
  </si>
  <si>
    <t xml:space="preserve">SENSITIVITY: TRANSACTION SIZE IMPACT</t>
  </si>
  <si>
    <t xml:space="preserve">The $0.30 fixed fee hurts more on small transactions</t>
  </si>
  <si>
    <t xml:space="preserve">Transaction Amount</t>
  </si>
  <si>
    <t xml:space="preserve">Stripe Cost (2 cards)</t>
  </si>
  <si>
    <t xml:space="preserve">Cost as % of Txn</t>
  </si>
  <si>
    <t xml:space="preserve">Stripe Cost (3 cards)</t>
  </si>
  <si>
    <t xml:space="preserve">SPLITT. — KEY TAKEAWAYS &amp; RECOMMENDATIONS</t>
  </si>
  <si>
    <t xml:space="preserve">1. THE $0.30 PROBLEM</t>
  </si>
  <si>
    <t xml:space="preserve">Stripe charges $0.30 per charge regardless of amount. On a $75 split across 2.5 cards, that's ~$0.74 in Stripe fees per split. A free user doing 15 splits/month costs ~$11.10 in Stripe fees alone — and pays nothing.</t>
  </si>
  <si>
    <t xml:space="preserve">2. INTERCHANGE HELPS, BUT ISN'T ENOUGH</t>
  </si>
  <si>
    <t xml:space="preserve">Lithic Starter gives you 0.2% on first $100K volume (0.4% above). On $75 that's $0.15 per transaction. Helpful, but covers less than 20% of the Stripe cost.</t>
  </si>
  <si>
    <t xml:space="preserve">3. FREE TIER IS A LOSS LEADER</t>
  </si>
  <si>
    <t xml:space="preserve">Every free user costs you $7-11/month in Stripe fees depending on usage. This only works if conversion to paid tiers is strong (&gt;30%).</t>
  </si>
  <si>
    <t xml:space="preserve">4. SUBSCRIPTION ALONE WON'T COVER COSTS</t>
  </si>
  <si>
    <t xml:space="preserve">A Plus user ($5/mo) doing 15 splits costs ~$11 in Stripe fees. You lose ~$6/mo on them. Even Pro ($10/mo) loses ~$1/mo at 15 splits. You need either higher prices, per-split fees, or both.</t>
  </si>
  <si>
    <t xml:space="preserve">5. RECOMMENDED: HYBRID PRICING</t>
  </si>
  <si>
    <t xml:space="preserve">Cap free tier at 10 splits/month. Charge $0.25 per split after that. Keep Plus at $5/mo and Pro at $10/mo with unlimited splits — the subscription covers the variable cost for moderate users. Heavy users (30+ splits/mo) still lose money on Plus, break even on Pro.</t>
  </si>
  <si>
    <t xml:space="preserve">6. ALTERNATIVE: RAISE SUBSCRIPTION PRICES</t>
  </si>
  <si>
    <t xml:space="preserve">Plus at $8/mo and Pro at $15/mo would cover costs for most usage patterns without per-split fees. Simpler pricing, but higher barrier to entry.</t>
  </si>
  <si>
    <t xml:space="preserve">7. TRANSACTION SIZE MATTERS</t>
  </si>
  <si>
    <t xml:space="preserve">Small transactions ($10-25) are unprofitable — the $0.30 fixed fee is 3-6% of the amount. Consider a minimum split amount of $15-25 to avoid processing micro-transactions at a loss.</t>
  </si>
  <si>
    <t xml:space="preserve">8. SCALE ECONOMICS</t>
  </si>
  <si>
    <t xml:space="preserve">Fixed costs ($11-348/mo for infra) become negligible at scale. The variable Stripe cost dominates. At 10K users, infra is &lt;$0.04/user/month — but Stripe is $7-11/user/month.</t>
  </si>
  <si>
    <t xml:space="preserve">9. NEGOTIATE STRIPE PRICING</t>
  </si>
  <si>
    <t xml:space="preserve">At $100K+/mo in volume, negotiate custom Stripe pricing. Moving from 2.9%+$0.30 to 2.2%+$0.20 saves ~30% on variable costs. This is the single biggest lever.</t>
  </si>
  <si>
    <t xml:space="preserve">10. LONG-TERM: EXPLORE ACH</t>
  </si>
  <si>
    <t xml:space="preserve">For recurring/predictable splits, ACH is 0.8% capped at $5 per transaction with no fixed fee. This eliminates the $0.30 problem entirely for eligible transactions.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</si>
</sst>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"/>
    <numFmt numFmtId="167" formatCode="0.00%"/>
    <numFmt numFmtId="168" formatCode="\$#,##0.00;&quot;($&quot;#,##0.00\);\-"/>
    <numFmt numFmtId="169" formatCode="#,##0"/>
    <numFmt numFmtId="170" formatCode="\$#,##0.0000;&quot;($&quot;#,##0.0000\);\-"/>
    <numFmt numFmtId="171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999999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AAAAAA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i val="true"/>
      <sz val="9"/>
      <color rgb="FFCC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3"/>
      <color rgb="FFCC0000"/>
      <name val="Cambria"/>
      <family val="0"/>
      <charset val="1"/>
    </font>
    <font>
      <sz val="9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2"/>
      <color rgb="FFCC0000"/>
      <name val="Cambria"/>
      <family val="0"/>
      <charset val="1"/>
    </font>
    <font>
      <b val="true"/>
      <sz val="12"/>
      <color rgb="FF008000"/>
      <name val="Cambria"/>
      <family val="0"/>
      <charset val="1"/>
    </font>
    <font>
      <sz val="10"/>
      <color rgb="FF666666"/>
      <name val="Cambria"/>
      <family val="0"/>
      <charset val="1"/>
    </font>
    <font>
      <i val="true"/>
      <sz val="11"/>
      <color rgb="FFCC0000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008000"/>
      <name val="Cambria"/>
      <family val="0"/>
      <charset val="1"/>
    </font>
    <font>
      <sz val="10"/>
      <color rgb="FF444444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D2D44"/>
        <bgColor rgb="FF333333"/>
      </patternFill>
    </fill>
    <fill>
      <patternFill patternType="solid">
        <fgColor rgb="FFFFFDE7"/>
        <bgColor rgb="FFFFF3E0"/>
      </patternFill>
    </fill>
    <fill>
      <patternFill patternType="solid">
        <fgColor rgb="FF1B1B2F"/>
        <bgColor rgb="FF2D2D44"/>
      </patternFill>
    </fill>
    <fill>
      <patternFill patternType="solid">
        <fgColor rgb="FFFFEBEE"/>
        <bgColor rgb="FFFFF3E0"/>
      </patternFill>
    </fill>
    <fill>
      <patternFill patternType="solid">
        <fgColor rgb="FFE8F5E9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FFDE7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EE"/>
      <rgbColor rgb="FFCCFFCC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1B1B2F"/>
      <rgbColor rgb="FF2D2D44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8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1" t="s">
        <v>3</v>
      </c>
      <c r="B5" s="5" t="n">
        <v>75</v>
      </c>
      <c r="D5" s="6" t="s">
        <v>4</v>
      </c>
    </row>
    <row r="6" customFormat="false" ht="15" hidden="false" customHeight="true" outlineLevel="0" collapsed="false">
      <c r="A6" s="1" t="s">
        <v>5</v>
      </c>
      <c r="B6" s="7" t="n">
        <v>2.5</v>
      </c>
      <c r="D6" s="6" t="s">
        <v>6</v>
      </c>
    </row>
    <row r="7" customFormat="false" ht="15" hidden="false" customHeight="true" outlineLevel="0" collapsed="false">
      <c r="A7" s="1" t="s">
        <v>7</v>
      </c>
      <c r="B7" s="8" t="n">
        <f aca="false">B5/B6</f>
        <v>30</v>
      </c>
      <c r="D7" s="6" t="s">
        <v>8</v>
      </c>
    </row>
    <row r="9" customFormat="false" ht="15" hidden="false" customHeight="true" outlineLevel="0" collapsed="false">
      <c r="A9" s="4" t="s">
        <v>9</v>
      </c>
      <c r="B9" s="4"/>
      <c r="C9" s="4"/>
      <c r="D9" s="9" t="s">
        <v>10</v>
      </c>
    </row>
    <row r="10" customFormat="false" ht="15" hidden="false" customHeight="true" outlineLevel="0" collapsed="false">
      <c r="A10" s="1" t="s">
        <v>11</v>
      </c>
      <c r="B10" s="10" t="n">
        <v>0.029</v>
      </c>
    </row>
    <row r="11" customFormat="false" ht="15" hidden="false" customHeight="true" outlineLevel="0" collapsed="false">
      <c r="A11" s="1" t="s">
        <v>12</v>
      </c>
      <c r="B11" s="11" t="n">
        <v>0.3</v>
      </c>
    </row>
    <row r="12" customFormat="false" ht="15" hidden="false" customHeight="true" outlineLevel="0" collapsed="false">
      <c r="A12" s="1" t="s">
        <v>13</v>
      </c>
      <c r="B12" s="12" t="n">
        <f aca="false">B6-1</f>
        <v>1.5</v>
      </c>
      <c r="D12" s="6" t="s">
        <v>14</v>
      </c>
    </row>
    <row r="13" customFormat="false" ht="15" hidden="false" customHeight="true" outlineLevel="0" collapsed="false">
      <c r="A13" s="1" t="s">
        <v>15</v>
      </c>
      <c r="B13" s="13" t="n">
        <f aca="false">B5/B6</f>
        <v>30</v>
      </c>
    </row>
    <row r="14" customFormat="false" ht="15" hidden="false" customHeight="true" outlineLevel="0" collapsed="false">
      <c r="A14" s="1" t="s">
        <v>16</v>
      </c>
      <c r="B14" s="13" t="n">
        <f aca="false">B13*B10+B11</f>
        <v>1.17</v>
      </c>
    </row>
    <row r="15" customFormat="false" ht="15" hidden="false" customHeight="true" outlineLevel="0" collapsed="false">
      <c r="A15" s="14" t="s">
        <v>17</v>
      </c>
      <c r="B15" s="15" t="n">
        <f aca="false">B14*B12</f>
        <v>1.755</v>
      </c>
      <c r="D15" s="16" t="s">
        <v>18</v>
      </c>
    </row>
    <row r="17" customFormat="false" ht="15" hidden="false" customHeight="true" outlineLevel="0" collapsed="false">
      <c r="A17" s="1" t="s">
        <v>19</v>
      </c>
      <c r="B17" s="11" t="n">
        <v>0</v>
      </c>
      <c r="D17" s="6" t="s">
        <v>20</v>
      </c>
    </row>
    <row r="19" customFormat="false" ht="15" hidden="false" customHeight="true" outlineLevel="0" collapsed="false">
      <c r="A19" s="4" t="s">
        <v>21</v>
      </c>
      <c r="B19" s="4"/>
      <c r="C19" s="4"/>
      <c r="D19" s="9" t="s">
        <v>22</v>
      </c>
    </row>
    <row r="20" customFormat="false" ht="15" hidden="false" customHeight="true" outlineLevel="0" collapsed="false">
      <c r="A20" s="1" t="s">
        <v>23</v>
      </c>
      <c r="B20" s="11" t="n">
        <v>0.1</v>
      </c>
    </row>
    <row r="21" customFormat="false" ht="15" hidden="false" customHeight="true" outlineLevel="0" collapsed="false">
      <c r="A21" s="1" t="s">
        <v>24</v>
      </c>
      <c r="B21" s="11" t="n">
        <v>0</v>
      </c>
      <c r="D21" s="6" t="s">
        <v>25</v>
      </c>
    </row>
    <row r="22" customFormat="false" ht="15" hidden="false" customHeight="true" outlineLevel="0" collapsed="false">
      <c r="A22" s="1" t="s">
        <v>26</v>
      </c>
      <c r="B22" s="17" t="n">
        <v>1</v>
      </c>
    </row>
    <row r="23" customFormat="false" ht="15" hidden="false" customHeight="true" outlineLevel="0" collapsed="false">
      <c r="A23" s="1" t="s">
        <v>27</v>
      </c>
      <c r="B23" s="18" t="n">
        <f aca="false">B20*B22/50</f>
        <v>0.002</v>
      </c>
      <c r="D23" s="6" t="s">
        <v>28</v>
      </c>
    </row>
    <row r="25" customFormat="false" ht="15" hidden="false" customHeight="true" outlineLevel="0" collapsed="false">
      <c r="A25" s="4" t="s">
        <v>29</v>
      </c>
      <c r="B25" s="4"/>
      <c r="C25" s="4"/>
      <c r="D25" s="4"/>
    </row>
    <row r="26" customFormat="false" ht="15" hidden="false" customHeight="true" outlineLevel="0" collapsed="false">
      <c r="A26" s="1" t="s">
        <v>30</v>
      </c>
      <c r="B26" s="10" t="n">
        <v>0.002</v>
      </c>
      <c r="D26" s="6" t="s">
        <v>31</v>
      </c>
    </row>
    <row r="27" customFormat="false" ht="15" hidden="false" customHeight="true" outlineLevel="0" collapsed="false">
      <c r="A27" s="1" t="s">
        <v>32</v>
      </c>
      <c r="B27" s="10" t="n">
        <v>0.004</v>
      </c>
      <c r="D27" s="6" t="s">
        <v>33</v>
      </c>
    </row>
    <row r="28" customFormat="false" ht="15" hidden="false" customHeight="true" outlineLevel="0" collapsed="false">
      <c r="A28" s="1" t="s">
        <v>34</v>
      </c>
      <c r="B28" s="18" t="n">
        <f aca="false">B5*B26</f>
        <v>0.15</v>
      </c>
    </row>
    <row r="29" customFormat="false" ht="15" hidden="false" customHeight="true" outlineLevel="0" collapsed="false">
      <c r="A29" s="1" t="s">
        <v>35</v>
      </c>
      <c r="B29" s="18" t="n">
        <f aca="false">B5*B27</f>
        <v>0.3</v>
      </c>
    </row>
    <row r="31" customFormat="false" ht="15" hidden="false" customHeight="true" outlineLevel="0" collapsed="false">
      <c r="A31" s="4" t="s">
        <v>36</v>
      </c>
      <c r="B31" s="4"/>
      <c r="C31" s="4"/>
      <c r="D31" s="4"/>
    </row>
    <row r="32" customFormat="false" ht="15" hidden="false" customHeight="true" outlineLevel="0" collapsed="false">
      <c r="A32" s="1" t="s">
        <v>37</v>
      </c>
      <c r="B32" s="11" t="n">
        <v>15</v>
      </c>
      <c r="D32" s="6" t="s">
        <v>38</v>
      </c>
    </row>
    <row r="33" customFormat="false" ht="15" hidden="false" customHeight="true" outlineLevel="0" collapsed="false">
      <c r="A33" s="1" t="s">
        <v>39</v>
      </c>
      <c r="B33" s="10" t="n">
        <v>0.005</v>
      </c>
      <c r="D33" s="6" t="s">
        <v>40</v>
      </c>
    </row>
    <row r="34" customFormat="false" ht="15" hidden="false" customHeight="true" outlineLevel="0" collapsed="false">
      <c r="A34" s="1" t="s">
        <v>41</v>
      </c>
      <c r="B34" s="18" t="n">
        <f aca="false">B32*B33</f>
        <v>0.075</v>
      </c>
    </row>
    <row r="36" customFormat="false" ht="15" hidden="false" customHeight="true" outlineLevel="0" collapsed="false">
      <c r="A36" s="19" t="s">
        <v>42</v>
      </c>
      <c r="B36" s="19"/>
      <c r="C36" s="19"/>
      <c r="D36" s="19"/>
    </row>
    <row r="37" customFormat="false" ht="15" hidden="false" customHeight="true" outlineLevel="0" collapsed="false">
      <c r="A37" s="14" t="s">
        <v>43</v>
      </c>
      <c r="B37" s="20" t="n">
        <f aca="false">B15</f>
        <v>1.755</v>
      </c>
      <c r="C37" s="14" t="s">
        <v>44</v>
      </c>
      <c r="D37" s="21" t="n">
        <f aca="false">B37/B5</f>
        <v>0.0234</v>
      </c>
    </row>
    <row r="38" customFormat="false" ht="15" hidden="false" customHeight="true" outlineLevel="0" collapsed="false">
      <c r="A38" s="14" t="s">
        <v>45</v>
      </c>
      <c r="B38" s="22" t="n">
        <f aca="false">B23</f>
        <v>0.002</v>
      </c>
    </row>
    <row r="39" customFormat="false" ht="15" hidden="false" customHeight="true" outlineLevel="0" collapsed="false">
      <c r="A39" s="14" t="s">
        <v>46</v>
      </c>
      <c r="B39" s="22" t="n">
        <f aca="false">B34</f>
        <v>0.075</v>
      </c>
    </row>
    <row r="40" customFormat="false" ht="15" hidden="false" customHeight="true" outlineLevel="0" collapsed="false">
      <c r="A40" s="14" t="s">
        <v>47</v>
      </c>
      <c r="B40" s="23" t="n">
        <f aca="false">-B28</f>
        <v>-0.15</v>
      </c>
    </row>
    <row r="41" customFormat="false" ht="15" hidden="false" customHeight="true" outlineLevel="0" collapsed="false">
      <c r="A41" s="24"/>
      <c r="B41" s="24"/>
      <c r="C41" s="24"/>
      <c r="D41" s="24"/>
    </row>
    <row r="42" customFormat="false" ht="15.75" hidden="false" customHeight="true" outlineLevel="0" collapsed="false">
      <c r="A42" s="25" t="s">
        <v>48</v>
      </c>
      <c r="B42" s="26" t="n">
        <f aca="false">B37+B38+B39+B40</f>
        <v>1.682</v>
      </c>
      <c r="D42" s="27" t="n">
        <f aca="false">B42/B5</f>
        <v>0.0224266666666667</v>
      </c>
    </row>
    <row r="44" customFormat="false" ht="15" hidden="false" customHeight="true" outlineLevel="0" collapsed="false">
      <c r="A44" s="14" t="s">
        <v>49</v>
      </c>
      <c r="B44" s="15" t="n">
        <f aca="false">B37+B38+B39+(-B29)</f>
        <v>1.532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5"/>
    <col collapsed="false" customWidth="true" hidden="false" outlineLevel="0" max="5" min="5" style="1" width="45"/>
  </cols>
  <sheetData>
    <row r="1" customFormat="false" ht="17.25" hidden="false" customHeight="true" outlineLevel="0" collapsed="false">
      <c r="A1" s="2" t="s">
        <v>50</v>
      </c>
    </row>
    <row r="3" customFormat="false" ht="15" hidden="false" customHeight="true" outlineLevel="0" collapsed="false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</row>
    <row r="4" customFormat="false" ht="15" hidden="false" customHeight="true" outlineLevel="0" collapsed="false">
      <c r="A4" s="1" t="s">
        <v>56</v>
      </c>
      <c r="B4" s="5" t="n">
        <v>5</v>
      </c>
      <c r="C4" s="5" t="n">
        <v>20</v>
      </c>
      <c r="D4" s="5" t="n">
        <v>50</v>
      </c>
      <c r="E4" s="28" t="s">
        <v>57</v>
      </c>
    </row>
    <row r="5" customFormat="false" ht="15" hidden="false" customHeight="true" outlineLevel="0" collapsed="false">
      <c r="A5" s="1" t="s">
        <v>58</v>
      </c>
      <c r="B5" s="5" t="n">
        <v>0</v>
      </c>
      <c r="C5" s="5" t="n">
        <v>25</v>
      </c>
      <c r="D5" s="5" t="n">
        <v>25</v>
      </c>
      <c r="E5" s="28" t="s">
        <v>59</v>
      </c>
    </row>
    <row r="6" customFormat="false" ht="15" hidden="false" customHeight="true" outlineLevel="0" collapsed="false">
      <c r="A6" s="1" t="s">
        <v>60</v>
      </c>
      <c r="B6" s="5" t="n">
        <v>0</v>
      </c>
      <c r="C6" s="5" t="n">
        <v>20</v>
      </c>
      <c r="D6" s="5" t="n">
        <v>20</v>
      </c>
      <c r="E6" s="28" t="s">
        <v>61</v>
      </c>
    </row>
    <row r="7" customFormat="false" ht="15" hidden="false" customHeight="true" outlineLevel="0" collapsed="false">
      <c r="A7" s="1" t="s">
        <v>62</v>
      </c>
      <c r="B7" s="5" t="n">
        <v>0</v>
      </c>
      <c r="C7" s="5" t="n">
        <v>20</v>
      </c>
      <c r="D7" s="5" t="n">
        <v>90</v>
      </c>
      <c r="E7" s="28" t="s">
        <v>63</v>
      </c>
    </row>
    <row r="8" customFormat="false" ht="15" hidden="false" customHeight="true" outlineLevel="0" collapsed="false">
      <c r="A8" s="1" t="s">
        <v>64</v>
      </c>
      <c r="B8" s="5" t="n">
        <v>0</v>
      </c>
      <c r="C8" s="5" t="n">
        <v>26</v>
      </c>
      <c r="D8" s="5" t="n">
        <v>26</v>
      </c>
      <c r="E8" s="28" t="s">
        <v>65</v>
      </c>
    </row>
    <row r="9" customFormat="false" ht="15" hidden="false" customHeight="true" outlineLevel="0" collapsed="false">
      <c r="A9" s="1" t="s">
        <v>66</v>
      </c>
      <c r="B9" s="5" t="n">
        <v>5</v>
      </c>
      <c r="C9" s="5" t="n">
        <v>15</v>
      </c>
      <c r="D9" s="5" t="n">
        <v>30</v>
      </c>
      <c r="E9" s="28" t="s">
        <v>67</v>
      </c>
    </row>
    <row r="10" customFormat="false" ht="15" hidden="false" customHeight="true" outlineLevel="0" collapsed="false">
      <c r="A10" s="1" t="s">
        <v>68</v>
      </c>
      <c r="B10" s="5" t="n">
        <v>1.5</v>
      </c>
      <c r="C10" s="5" t="n">
        <v>1.5</v>
      </c>
      <c r="D10" s="5" t="n">
        <v>1.5</v>
      </c>
      <c r="E10" s="28" t="s">
        <v>69</v>
      </c>
    </row>
    <row r="11" customFormat="false" ht="15" hidden="false" customHeight="true" outlineLevel="0" collapsed="false">
      <c r="A11" s="1" t="s">
        <v>70</v>
      </c>
      <c r="B11" s="5" t="n">
        <v>0</v>
      </c>
      <c r="C11" s="5" t="n">
        <v>0</v>
      </c>
      <c r="D11" s="5" t="n">
        <v>99</v>
      </c>
      <c r="E11" s="28" t="s">
        <v>71</v>
      </c>
    </row>
    <row r="12" customFormat="false" ht="15" hidden="false" customHeight="true" outlineLevel="0" collapsed="false">
      <c r="A12" s="1" t="s">
        <v>72</v>
      </c>
      <c r="B12" s="5" t="n">
        <v>0</v>
      </c>
      <c r="C12" s="5" t="n">
        <v>0</v>
      </c>
      <c r="D12" s="5" t="n">
        <v>7</v>
      </c>
      <c r="E12" s="28" t="s">
        <v>73</v>
      </c>
    </row>
    <row r="13" customFormat="false" ht="15" hidden="false" customHeight="true" outlineLevel="0" collapsed="false">
      <c r="A13" s="24"/>
      <c r="B13" s="24"/>
      <c r="C13" s="24"/>
      <c r="D13" s="24"/>
      <c r="E13" s="24"/>
    </row>
    <row r="14" customFormat="false" ht="15" hidden="false" customHeight="true" outlineLevel="0" collapsed="false">
      <c r="A14" s="29" t="s">
        <v>74</v>
      </c>
      <c r="B14" s="30" t="n">
        <f aca="false">SUM(B4:B12)</f>
        <v>11.5</v>
      </c>
      <c r="C14" s="30" t="n">
        <f aca="false">SUM(C4:C12)</f>
        <v>127.5</v>
      </c>
      <c r="D14" s="30" t="n">
        <f aca="false">SUM(D4:D12)</f>
        <v>348.5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2" t="s">
        <v>75</v>
      </c>
    </row>
    <row r="2" customFormat="false" ht="15" hidden="false" customHeight="true" outlineLevel="0" collapsed="false">
      <c r="A2" s="3" t="s">
        <v>76</v>
      </c>
    </row>
    <row r="4" customFormat="false" ht="15" hidden="false" customHeight="true" outlineLevel="0" collapsed="false">
      <c r="A4" s="4" t="s">
        <v>77</v>
      </c>
      <c r="B4" s="4" t="s">
        <v>78</v>
      </c>
      <c r="C4" s="4" t="s">
        <v>79</v>
      </c>
      <c r="D4" s="4" t="s">
        <v>80</v>
      </c>
      <c r="E4" s="4" t="s">
        <v>81</v>
      </c>
      <c r="F4" s="4" t="s">
        <v>82</v>
      </c>
      <c r="G4" s="4" t="s">
        <v>83</v>
      </c>
    </row>
    <row r="6" customFormat="false" ht="15" hidden="false" customHeight="true" outlineLevel="0" collapsed="false">
      <c r="A6" s="29" t="s">
        <v>84</v>
      </c>
    </row>
    <row r="7" customFormat="false" ht="15" hidden="false" customHeight="true" outlineLevel="0" collapsed="false">
      <c r="A7" s="1" t="s">
        <v>85</v>
      </c>
      <c r="B7" s="17" t="n">
        <v>50</v>
      </c>
      <c r="C7" s="17" t="n">
        <v>200</v>
      </c>
      <c r="D7" s="17" t="n">
        <v>500</v>
      </c>
      <c r="E7" s="17" t="n">
        <v>1000</v>
      </c>
      <c r="F7" s="17" t="n">
        <v>5000</v>
      </c>
      <c r="G7" s="17" t="n">
        <v>10000</v>
      </c>
    </row>
    <row r="8" customFormat="false" ht="15" hidden="false" customHeight="true" outlineLevel="0" collapsed="false">
      <c r="A8" s="1" t="s">
        <v>86</v>
      </c>
      <c r="B8" s="17" t="n">
        <v>15</v>
      </c>
      <c r="C8" s="17" t="n">
        <v>15</v>
      </c>
      <c r="D8" s="17" t="n">
        <v>15</v>
      </c>
      <c r="E8" s="17" t="n">
        <v>15</v>
      </c>
      <c r="F8" s="17" t="n">
        <v>15</v>
      </c>
      <c r="G8" s="17" t="n">
        <v>15</v>
      </c>
    </row>
    <row r="9" customFormat="false" ht="15" hidden="false" customHeight="true" outlineLevel="0" collapsed="false">
      <c r="A9" s="1" t="s">
        <v>87</v>
      </c>
      <c r="B9" s="31" t="n">
        <f aca="false">'Per-Transaction Costs'!B5</f>
        <v>75</v>
      </c>
      <c r="C9" s="31" t="n">
        <f aca="false">'Per-Transaction Costs'!B5</f>
        <v>75</v>
      </c>
      <c r="D9" s="31" t="n">
        <f aca="false">'Per-Transaction Costs'!B5</f>
        <v>75</v>
      </c>
      <c r="E9" s="31" t="n">
        <f aca="false">'Per-Transaction Costs'!B5</f>
        <v>75</v>
      </c>
      <c r="F9" s="31" t="n">
        <f aca="false">'Per-Transaction Costs'!B5</f>
        <v>75</v>
      </c>
      <c r="G9" s="31" t="n">
        <f aca="false">'Per-Transaction Costs'!B5</f>
        <v>75</v>
      </c>
    </row>
    <row r="10" customFormat="false" ht="15" hidden="false" customHeight="true" outlineLevel="0" collapsed="false">
      <c r="A10" s="1" t="s">
        <v>88</v>
      </c>
      <c r="B10" s="32" t="n">
        <f aca="false">'Per-Transaction Costs'!B6</f>
        <v>2.5</v>
      </c>
      <c r="C10" s="32" t="n">
        <f aca="false">'Per-Transaction Costs'!B6</f>
        <v>2.5</v>
      </c>
      <c r="D10" s="32" t="n">
        <f aca="false">'Per-Transaction Costs'!B6</f>
        <v>2.5</v>
      </c>
      <c r="E10" s="32" t="n">
        <f aca="false">'Per-Transaction Costs'!B6</f>
        <v>2.5</v>
      </c>
      <c r="F10" s="32" t="n">
        <f aca="false">'Per-Transaction Costs'!B6</f>
        <v>2.5</v>
      </c>
      <c r="G10" s="32" t="n">
        <f aca="false">'Per-Transaction Costs'!B6</f>
        <v>2.5</v>
      </c>
    </row>
    <row r="12" customFormat="false" ht="15" hidden="false" customHeight="true" outlineLevel="0" collapsed="false">
      <c r="A12" s="29" t="s">
        <v>89</v>
      </c>
    </row>
    <row r="13" customFormat="false" ht="15" hidden="false" customHeight="true" outlineLevel="0" collapsed="false">
      <c r="A13" s="1" t="s">
        <v>90</v>
      </c>
      <c r="B13" s="33" t="n">
        <f aca="false">B7*B8</f>
        <v>750</v>
      </c>
      <c r="C13" s="33" t="n">
        <f aca="false">C7*C8</f>
        <v>3000</v>
      </c>
      <c r="D13" s="33" t="n">
        <f aca="false">D7*D8</f>
        <v>7500</v>
      </c>
      <c r="E13" s="33" t="n">
        <f aca="false">E7*E8</f>
        <v>15000</v>
      </c>
      <c r="F13" s="33" t="n">
        <f aca="false">F7*F8</f>
        <v>75000</v>
      </c>
      <c r="G13" s="33" t="n">
        <f aca="false">G7*G8</f>
        <v>150000</v>
      </c>
    </row>
    <row r="14" customFormat="false" ht="15" hidden="false" customHeight="true" outlineLevel="0" collapsed="false">
      <c r="A14" s="1" t="s">
        <v>91</v>
      </c>
      <c r="B14" s="33" t="n">
        <f aca="false">B13*(B10-1)</f>
        <v>1125</v>
      </c>
      <c r="C14" s="33" t="n">
        <f aca="false">C13*(C10-1)</f>
        <v>4500</v>
      </c>
      <c r="D14" s="33" t="n">
        <f aca="false">D13*(D10-1)</f>
        <v>11250</v>
      </c>
      <c r="E14" s="33" t="n">
        <f aca="false">E13*(E10-1)</f>
        <v>22500</v>
      </c>
      <c r="F14" s="33" t="n">
        <f aca="false">F13*(F10-1)</f>
        <v>112500</v>
      </c>
      <c r="G14" s="33" t="n">
        <f aca="false">G13*(G10-1)</f>
        <v>225000</v>
      </c>
    </row>
    <row r="15" customFormat="false" ht="15" hidden="false" customHeight="true" outlineLevel="0" collapsed="false">
      <c r="A15" s="1" t="s">
        <v>92</v>
      </c>
      <c r="B15" s="8" t="n">
        <f aca="false">B13*B9</f>
        <v>56250</v>
      </c>
      <c r="C15" s="8" t="n">
        <f aca="false">C13*C9</f>
        <v>225000</v>
      </c>
      <c r="D15" s="8" t="n">
        <f aca="false">D13*D9</f>
        <v>562500</v>
      </c>
      <c r="E15" s="8" t="n">
        <f aca="false">E13*E9</f>
        <v>1125000</v>
      </c>
      <c r="F15" s="8" t="n">
        <f aca="false">F13*F9</f>
        <v>5625000</v>
      </c>
      <c r="G15" s="8" t="n">
        <f aca="false">G13*G9</f>
        <v>11250000</v>
      </c>
    </row>
    <row r="17" customFormat="false" ht="15" hidden="false" customHeight="true" outlineLevel="0" collapsed="false">
      <c r="A17" s="29" t="s">
        <v>93</v>
      </c>
    </row>
    <row r="18" customFormat="false" ht="15" hidden="false" customHeight="true" outlineLevel="0" collapsed="false">
      <c r="A18" s="1" t="s">
        <v>94</v>
      </c>
      <c r="B18" s="34" t="n">
        <f aca="false">B13*'Per-Transaction Costs'!B15</f>
        <v>1316.25</v>
      </c>
      <c r="C18" s="34" t="n">
        <f aca="false">C13*'Per-Transaction Costs'!B15</f>
        <v>5265</v>
      </c>
      <c r="D18" s="34" t="n">
        <f aca="false">D13*'Per-Transaction Costs'!B15</f>
        <v>13162.5</v>
      </c>
      <c r="E18" s="34" t="n">
        <f aca="false">E13*'Per-Transaction Costs'!B15</f>
        <v>26325</v>
      </c>
      <c r="F18" s="34" t="n">
        <f aca="false">F13*'Per-Transaction Costs'!B15</f>
        <v>131625</v>
      </c>
      <c r="G18" s="34" t="n">
        <f aca="false">G13*'Per-Transaction Costs'!B15</f>
        <v>263250</v>
      </c>
    </row>
    <row r="19" customFormat="false" ht="15" hidden="false" customHeight="true" outlineLevel="0" collapsed="false">
      <c r="A19" s="1" t="s">
        <v>95</v>
      </c>
      <c r="B19" s="34" t="n">
        <f aca="false">B13*'Per-Transaction Costs'!B34</f>
        <v>56.25</v>
      </c>
      <c r="C19" s="34" t="n">
        <f aca="false">C13*'Per-Transaction Costs'!B34</f>
        <v>225</v>
      </c>
      <c r="D19" s="34" t="n">
        <f aca="false">D13*'Per-Transaction Costs'!B34</f>
        <v>562.5</v>
      </c>
      <c r="E19" s="34" t="n">
        <f aca="false">E13*'Per-Transaction Costs'!B34</f>
        <v>1125</v>
      </c>
      <c r="F19" s="34" t="n">
        <f aca="false">F13*'Per-Transaction Costs'!B34</f>
        <v>5625</v>
      </c>
      <c r="G19" s="34" t="n">
        <f aca="false">G13*'Per-Transaction Costs'!B34</f>
        <v>11250</v>
      </c>
    </row>
    <row r="20" customFormat="false" ht="15" hidden="false" customHeight="true" outlineLevel="0" collapsed="false">
      <c r="A20" s="1" t="s">
        <v>96</v>
      </c>
      <c r="B20" s="35" t="n">
        <f aca="false">'Monthly Fixed Costs'!B14</f>
        <v>11.5</v>
      </c>
      <c r="C20" s="35" t="n">
        <f aca="false">'Monthly Fixed Costs'!C14</f>
        <v>127.5</v>
      </c>
      <c r="D20" s="35" t="n">
        <f aca="false">'Monthly Fixed Costs'!C14</f>
        <v>127.5</v>
      </c>
      <c r="E20" s="35" t="n">
        <f aca="false">'Monthly Fixed Costs'!C14</f>
        <v>127.5</v>
      </c>
      <c r="F20" s="35" t="n">
        <f aca="false">'Monthly Fixed Costs'!D14</f>
        <v>348.5</v>
      </c>
      <c r="G20" s="35" t="n">
        <f aca="false">'Monthly Fixed Costs'!D14</f>
        <v>348.5</v>
      </c>
    </row>
    <row r="21" customFormat="false" ht="15" hidden="false" customHeight="true" outlineLevel="0" collapsed="false">
      <c r="A21" s="29" t="s">
        <v>97</v>
      </c>
      <c r="B21" s="36" t="n">
        <f aca="false">B18+B19+B20</f>
        <v>1384</v>
      </c>
      <c r="C21" s="36" t="n">
        <f aca="false">C18+C19+C20</f>
        <v>5617.5</v>
      </c>
      <c r="D21" s="36" t="n">
        <f aca="false">D18+D19+D20</f>
        <v>13852.5</v>
      </c>
      <c r="E21" s="36" t="n">
        <f aca="false">E18+E19+E20</f>
        <v>27577.5</v>
      </c>
      <c r="F21" s="36" t="n">
        <f aca="false">F18+F19+F20</f>
        <v>137598.5</v>
      </c>
      <c r="G21" s="36" t="n">
        <f aca="false">G18+G19+G20</f>
        <v>274848.5</v>
      </c>
    </row>
    <row r="23" customFormat="false" ht="15" hidden="false" customHeight="true" outlineLevel="0" collapsed="false">
      <c r="A23" s="29" t="s">
        <v>98</v>
      </c>
    </row>
    <row r="24" customFormat="false" ht="15" hidden="false" customHeight="true" outlineLevel="0" collapsed="false">
      <c r="A24" s="1" t="s">
        <v>99</v>
      </c>
      <c r="B24" s="37" t="n">
        <v>0.6</v>
      </c>
      <c r="C24" s="37" t="n">
        <v>0.6</v>
      </c>
      <c r="D24" s="37" t="n">
        <v>0.6</v>
      </c>
      <c r="E24" s="37" t="n">
        <v>0.6</v>
      </c>
      <c r="F24" s="37" t="n">
        <v>0.6</v>
      </c>
      <c r="G24" s="37" t="n">
        <v>0.6</v>
      </c>
    </row>
    <row r="25" customFormat="false" ht="15" hidden="false" customHeight="true" outlineLevel="0" collapsed="false">
      <c r="A25" s="1" t="s">
        <v>100</v>
      </c>
      <c r="B25" s="37" t="n">
        <v>0.3</v>
      </c>
      <c r="C25" s="37" t="n">
        <v>0.3</v>
      </c>
      <c r="D25" s="37" t="n">
        <v>0.3</v>
      </c>
      <c r="E25" s="37" t="n">
        <v>0.3</v>
      </c>
      <c r="F25" s="37" t="n">
        <v>0.3</v>
      </c>
      <c r="G25" s="37" t="n">
        <v>0.3</v>
      </c>
    </row>
    <row r="26" customFormat="false" ht="15" hidden="false" customHeight="true" outlineLevel="0" collapsed="false">
      <c r="A26" s="1" t="s">
        <v>101</v>
      </c>
      <c r="B26" s="37" t="n">
        <v>0.1</v>
      </c>
      <c r="C26" s="37" t="n">
        <v>0.1</v>
      </c>
      <c r="D26" s="37" t="n">
        <v>0.1</v>
      </c>
      <c r="E26" s="37" t="n">
        <v>0.1</v>
      </c>
      <c r="F26" s="37" t="n">
        <v>0.1</v>
      </c>
      <c r="G26" s="37" t="n">
        <v>0.1</v>
      </c>
    </row>
    <row r="27" customFormat="false" ht="15" hidden="false" customHeight="true" outlineLevel="0" collapsed="false">
      <c r="A27" s="1" t="s">
        <v>102</v>
      </c>
      <c r="B27" s="38" t="n">
        <f aca="false">B7*(B25*5+B26*10)</f>
        <v>125</v>
      </c>
      <c r="C27" s="38" t="n">
        <f aca="false">C7*(C25*5+C26*10)</f>
        <v>500</v>
      </c>
      <c r="D27" s="38" t="n">
        <f aca="false">D7*(D25*5+D26*10)</f>
        <v>1250</v>
      </c>
      <c r="E27" s="38" t="n">
        <f aca="false">E7*(E25*5+E26*10)</f>
        <v>2500</v>
      </c>
      <c r="F27" s="38" t="n">
        <f aca="false">F7*(F25*5+F26*10)</f>
        <v>12500</v>
      </c>
      <c r="G27" s="38" t="n">
        <f aca="false">G7*(G25*5+G26*10)</f>
        <v>25000</v>
      </c>
    </row>
    <row r="28" customFormat="false" ht="15" hidden="false" customHeight="true" outlineLevel="0" collapsed="false">
      <c r="A28" s="1" t="s">
        <v>103</v>
      </c>
      <c r="B28" s="38" t="n">
        <f aca="false">IF(B15&lt;=100000,B15*0.002,100000*0.002+(B15-100000)*0.004)</f>
        <v>112.5</v>
      </c>
      <c r="C28" s="38" t="n">
        <f aca="false">IF(C15&lt;=100000,C15*0.002,100000*0.002+(C15-100000)*0.004)</f>
        <v>700</v>
      </c>
      <c r="D28" s="38" t="n">
        <f aca="false">IF(D15&lt;=100000,D15*0.002,100000*0.002+(D15-100000)*0.004)</f>
        <v>2050</v>
      </c>
      <c r="E28" s="38" t="n">
        <f aca="false">IF(E15&lt;=100000,E15*0.002,100000*0.002+(E15-100000)*0.004)</f>
        <v>4300</v>
      </c>
      <c r="F28" s="38" t="n">
        <f aca="false">IF(F15&lt;=100000,F15*0.002,100000*0.002+(F15-100000)*0.004)</f>
        <v>22300</v>
      </c>
      <c r="G28" s="38" t="n">
        <f aca="false">IF(G15&lt;=100000,G15*0.002,100000*0.002+(G15-100000)*0.004)</f>
        <v>44800</v>
      </c>
    </row>
    <row r="29" customFormat="false" ht="15" hidden="false" customHeight="true" outlineLevel="0" collapsed="false">
      <c r="A29" s="29" t="s">
        <v>104</v>
      </c>
      <c r="B29" s="39" t="n">
        <f aca="false">B27+B28</f>
        <v>237.5</v>
      </c>
      <c r="C29" s="39" t="n">
        <f aca="false">C27+C28</f>
        <v>1200</v>
      </c>
      <c r="D29" s="39" t="n">
        <f aca="false">D27+D28</f>
        <v>3300</v>
      </c>
      <c r="E29" s="39" t="n">
        <f aca="false">E27+E28</f>
        <v>6800</v>
      </c>
      <c r="F29" s="39" t="n">
        <f aca="false">F27+F28</f>
        <v>34800</v>
      </c>
      <c r="G29" s="39" t="n">
        <f aca="false">G27+G28</f>
        <v>69800</v>
      </c>
    </row>
    <row r="31" customFormat="false" ht="15" hidden="false" customHeight="true" outlineLevel="0" collapsed="false">
      <c r="A31" s="24"/>
      <c r="B31" s="24"/>
      <c r="C31" s="24"/>
      <c r="D31" s="24"/>
      <c r="E31" s="24"/>
      <c r="F31" s="24"/>
      <c r="G31" s="24"/>
    </row>
    <row r="32" customFormat="false" ht="17.25" hidden="false" customHeight="true" outlineLevel="0" collapsed="false">
      <c r="A32" s="2" t="s">
        <v>105</v>
      </c>
      <c r="B32" s="40" t="n">
        <f aca="false">B29-B21</f>
        <v>-1146.5</v>
      </c>
      <c r="C32" s="40" t="n">
        <f aca="false">C29-C21</f>
        <v>-4417.5</v>
      </c>
      <c r="D32" s="40" t="n">
        <f aca="false">D29-D21</f>
        <v>-10552.5</v>
      </c>
      <c r="E32" s="40" t="n">
        <f aca="false">E29-E21</f>
        <v>-20777.5</v>
      </c>
      <c r="F32" s="40" t="n">
        <f aca="false">F29-F21</f>
        <v>-102798.5</v>
      </c>
      <c r="G32" s="40" t="n">
        <f aca="false">G29-G21</f>
        <v>-205048.5</v>
      </c>
    </row>
    <row r="33" customFormat="false" ht="15" hidden="false" customHeight="true" outlineLevel="0" collapsed="false">
      <c r="A33" s="14" t="s">
        <v>106</v>
      </c>
      <c r="B33" s="41" t="n">
        <f aca="false">IF(B29=0,0,B32/B29)</f>
        <v>-4.82736842105263</v>
      </c>
      <c r="C33" s="41" t="n">
        <f aca="false">IF(C29=0,0,C32/C29)</f>
        <v>-3.68125</v>
      </c>
      <c r="D33" s="41" t="n">
        <f aca="false">IF(D29=0,0,D32/D29)</f>
        <v>-3.19772727272727</v>
      </c>
      <c r="E33" s="41" t="n">
        <f aca="false">IF(E29=0,0,E32/E29)</f>
        <v>-3.05551470588235</v>
      </c>
      <c r="F33" s="41" t="n">
        <f aca="false">IF(F29=0,0,F32/F29)</f>
        <v>-2.95397988505747</v>
      </c>
      <c r="G33" s="41" t="n">
        <f aca="false">IF(G29=0,0,G32/G29)</f>
        <v>-2.93765759312321</v>
      </c>
    </row>
    <row r="34" customFormat="false" ht="15" hidden="false" customHeight="true" outlineLevel="0" collapsed="false">
      <c r="A34" s="14" t="s">
        <v>107</v>
      </c>
      <c r="B34" s="13" t="n">
        <f aca="false">B21/B7</f>
        <v>27.68</v>
      </c>
      <c r="C34" s="13" t="n">
        <f aca="false">C21/C7</f>
        <v>28.0875</v>
      </c>
      <c r="D34" s="13" t="n">
        <f aca="false">D21/D7</f>
        <v>27.705</v>
      </c>
      <c r="E34" s="13" t="n">
        <f aca="false">E21/E7</f>
        <v>27.5775</v>
      </c>
      <c r="F34" s="13" t="n">
        <f aca="false">F21/F7</f>
        <v>27.5197</v>
      </c>
      <c r="G34" s="13" t="n">
        <f aca="false">G21/G7</f>
        <v>27.48485</v>
      </c>
    </row>
    <row r="35" customFormat="false" ht="15" hidden="false" customHeight="true" outlineLevel="0" collapsed="false">
      <c r="A35" s="14" t="s">
        <v>108</v>
      </c>
      <c r="B35" s="13" t="n">
        <f aca="false">B29/B7</f>
        <v>4.75</v>
      </c>
      <c r="C35" s="13" t="n">
        <f aca="false">C29/C7</f>
        <v>6</v>
      </c>
      <c r="D35" s="13" t="n">
        <f aca="false">D29/D7</f>
        <v>6.6</v>
      </c>
      <c r="E35" s="13" t="n">
        <f aca="false">E29/E7</f>
        <v>6.8</v>
      </c>
      <c r="F35" s="13" t="n">
        <f aca="false">F29/F7</f>
        <v>6.96</v>
      </c>
      <c r="G35" s="13" t="n">
        <f aca="false">G29/G7</f>
        <v>6.98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  <col collapsed="false" customWidth="true" hidden="false" outlineLevel="0" max="5" min="5" style="1" width="45"/>
  </cols>
  <sheetData>
    <row r="1" customFormat="false" ht="17.25" hidden="false" customHeight="true" outlineLevel="0" collapsed="false">
      <c r="A1" s="2" t="s">
        <v>109</v>
      </c>
    </row>
    <row r="3" customFormat="false" ht="15" hidden="false" customHeight="true" outlineLevel="0" collapsed="false">
      <c r="A3" s="4" t="s">
        <v>110</v>
      </c>
      <c r="B3" s="4"/>
      <c r="C3" s="4"/>
      <c r="D3" s="4"/>
      <c r="E3" s="4"/>
    </row>
    <row r="4" customFormat="false" ht="15" hidden="false" customHeight="true" outlineLevel="0" collapsed="false">
      <c r="A4" s="1" t="s">
        <v>111</v>
      </c>
      <c r="B4" s="42" t="s">
        <v>112</v>
      </c>
    </row>
    <row r="5" customFormat="false" ht="15" hidden="false" customHeight="true" outlineLevel="0" collapsed="false">
      <c r="A5" s="1" t="s">
        <v>113</v>
      </c>
      <c r="B5" s="42" t="s">
        <v>114</v>
      </c>
    </row>
    <row r="6" customFormat="false" ht="15" hidden="false" customHeight="true" outlineLevel="0" collapsed="false">
      <c r="A6" s="1" t="s">
        <v>115</v>
      </c>
      <c r="B6" s="42" t="s">
        <v>116</v>
      </c>
    </row>
    <row r="8" customFormat="false" ht="15" hidden="false" customHeight="true" outlineLevel="0" collapsed="false">
      <c r="A8" s="43" t="s">
        <v>117</v>
      </c>
      <c r="B8" s="43"/>
      <c r="C8" s="43"/>
      <c r="D8" s="43"/>
      <c r="E8" s="43"/>
    </row>
    <row r="9" customFormat="false" ht="15" hidden="false" customHeight="true" outlineLevel="0" collapsed="false">
      <c r="A9" s="14" t="s">
        <v>118</v>
      </c>
      <c r="B9" s="44" t="s">
        <v>119</v>
      </c>
    </row>
    <row r="10" customFormat="false" ht="15" hidden="false" customHeight="true" outlineLevel="0" collapsed="false">
      <c r="A10" s="1" t="s">
        <v>120</v>
      </c>
    </row>
    <row r="11" customFormat="false" ht="15" hidden="false" customHeight="true" outlineLevel="0" collapsed="false">
      <c r="A11" s="1" t="s">
        <v>121</v>
      </c>
      <c r="B11" s="45" t="n">
        <f aca="false">'Per-Transaction Costs'!B14</f>
        <v>1.17</v>
      </c>
    </row>
    <row r="12" customFormat="false" ht="15" hidden="false" customHeight="true" outlineLevel="0" collapsed="false">
      <c r="A12" s="1" t="s">
        <v>122</v>
      </c>
    </row>
    <row r="13" customFormat="false" ht="15" hidden="false" customHeight="true" outlineLevel="0" collapsed="false">
      <c r="A13" s="1" t="s">
        <v>123</v>
      </c>
      <c r="B13" s="15" t="n">
        <f aca="false">'Per-Transaction Costs'!B15</f>
        <v>1.755</v>
      </c>
    </row>
    <row r="14" customFormat="false" ht="15" hidden="false" customHeight="true" outlineLevel="0" collapsed="false">
      <c r="A14" s="1" t="s">
        <v>124</v>
      </c>
      <c r="B14" s="46" t="n">
        <f aca="false">'Per-Transaction Costs'!B15/'Per-Transaction Costs'!B5</f>
        <v>0.0234</v>
      </c>
    </row>
    <row r="16" customFormat="false" ht="15" hidden="false" customHeight="true" outlineLevel="0" collapsed="false">
      <c r="A16" s="1" t="s">
        <v>125</v>
      </c>
      <c r="B16" s="47" t="n">
        <f aca="false">'Per-Transaction Costs'!B15*15</f>
        <v>26.325</v>
      </c>
      <c r="D16" s="44" t="s">
        <v>126</v>
      </c>
    </row>
    <row r="17" customFormat="false" ht="15" hidden="false" customHeight="true" outlineLevel="0" collapsed="false">
      <c r="A17" s="1" t="s">
        <v>127</v>
      </c>
      <c r="B17" s="45" t="n">
        <f aca="false">'Per-Transaction Costs'!B15*15</f>
        <v>26.325</v>
      </c>
      <c r="C17" s="48" t="s">
        <v>128</v>
      </c>
      <c r="D17" s="49" t="n">
        <f aca="false">5-B17</f>
        <v>-21.325</v>
      </c>
    </row>
    <row r="19" customFormat="false" ht="15" hidden="false" customHeight="true" outlineLevel="0" collapsed="false">
      <c r="A19" s="4" t="s">
        <v>129</v>
      </c>
      <c r="B19" s="4"/>
      <c r="C19" s="4"/>
      <c r="D19" s="4"/>
      <c r="E19" s="4"/>
    </row>
    <row r="20" customFormat="false" ht="15" hidden="false" customHeight="true" outlineLevel="0" collapsed="false">
      <c r="A20" s="1" t="s">
        <v>130</v>
      </c>
      <c r="B20" s="11" t="n">
        <v>0.1</v>
      </c>
      <c r="C20" s="11" t="n">
        <v>0.25</v>
      </c>
      <c r="D20" s="11" t="n">
        <v>0.5</v>
      </c>
    </row>
    <row r="21" customFormat="false" ht="15" hidden="false" customHeight="true" outlineLevel="0" collapsed="false">
      <c r="A21" s="1" t="s">
        <v>131</v>
      </c>
      <c r="B21" s="45" t="n">
        <f aca="false">'Per-Transaction Costs'!B42</f>
        <v>1.682</v>
      </c>
      <c r="C21" s="45" t="n">
        <f aca="false">'Per-Transaction Costs'!B42</f>
        <v>1.682</v>
      </c>
      <c r="D21" s="45" t="n">
        <f aca="false">'Per-Transaction Costs'!B42</f>
        <v>1.682</v>
      </c>
    </row>
    <row r="22" customFormat="false" ht="15" hidden="false" customHeight="true" outlineLevel="0" collapsed="false">
      <c r="A22" s="1" t="s">
        <v>132</v>
      </c>
      <c r="B22" s="49" t="n">
        <f aca="false">B20-B21</f>
        <v>-1.582</v>
      </c>
      <c r="C22" s="49" t="n">
        <f aca="false">C20-C21</f>
        <v>-1.432</v>
      </c>
      <c r="D22" s="49" t="n">
        <f aca="false">D20-D21</f>
        <v>-1.182</v>
      </c>
    </row>
    <row r="23" customFormat="false" ht="15" hidden="false" customHeight="true" outlineLevel="0" collapsed="false">
      <c r="A23" s="1" t="s">
        <v>133</v>
      </c>
      <c r="B23" s="50" t="n">
        <f aca="false">IF(B20=0,0,B22/B20)</f>
        <v>-15.82</v>
      </c>
      <c r="C23" s="50" t="n">
        <f aca="false">IF(C20=0,0,C22/C20)</f>
        <v>-5.728</v>
      </c>
      <c r="D23" s="50" t="n">
        <f aca="false">IF(D20=0,0,D22/D20)</f>
        <v>-2.364</v>
      </c>
    </row>
    <row r="24" customFormat="false" ht="15" hidden="false" customHeight="true" outlineLevel="0" collapsed="false">
      <c r="A24" s="1" t="s">
        <v>134</v>
      </c>
      <c r="B24" s="13" t="n">
        <f aca="false">B20*15</f>
        <v>1.5</v>
      </c>
      <c r="C24" s="13" t="n">
        <f aca="false">C20*15</f>
        <v>3.75</v>
      </c>
      <c r="D24" s="13" t="n">
        <f aca="false">D20*15</f>
        <v>7.5</v>
      </c>
    </row>
    <row r="26" customFormat="false" ht="15" hidden="false" customHeight="true" outlineLevel="0" collapsed="false">
      <c r="A26" s="4" t="s">
        <v>135</v>
      </c>
      <c r="B26" s="4"/>
      <c r="C26" s="4"/>
      <c r="D26" s="4"/>
      <c r="E26" s="4"/>
    </row>
    <row r="27" customFormat="false" ht="15" hidden="false" customHeight="true" outlineLevel="0" collapsed="false">
      <c r="A27" s="1" t="s">
        <v>136</v>
      </c>
      <c r="B27" s="51" t="s">
        <v>137</v>
      </c>
    </row>
    <row r="28" customFormat="false" ht="15" hidden="false" customHeight="true" outlineLevel="0" collapsed="false">
      <c r="A28" s="1" t="s">
        <v>138</v>
      </c>
      <c r="B28" s="17" t="n">
        <v>10</v>
      </c>
    </row>
    <row r="29" customFormat="false" ht="15" hidden="false" customHeight="true" outlineLevel="0" collapsed="false">
      <c r="A29" s="1" t="s">
        <v>139</v>
      </c>
      <c r="B29" s="11" t="n">
        <v>0.25</v>
      </c>
    </row>
    <row r="30" customFormat="false" ht="15" hidden="false" customHeight="true" outlineLevel="0" collapsed="false">
      <c r="A30" s="1" t="s">
        <v>140</v>
      </c>
    </row>
    <row r="31" customFormat="false" ht="15" hidden="false" customHeight="true" outlineLevel="0" collapsed="false">
      <c r="A31" s="1" t="s">
        <v>141</v>
      </c>
    </row>
    <row r="33" customFormat="false" ht="15" hidden="false" customHeight="true" outlineLevel="0" collapsed="false">
      <c r="A33" s="14" t="s">
        <v>142</v>
      </c>
      <c r="B33" s="47" t="n">
        <f aca="false">'Per-Transaction Costs'!B42*B28</f>
        <v>16.82</v>
      </c>
      <c r="D33" s="44" t="s">
        <v>143</v>
      </c>
    </row>
    <row r="35" customFormat="false" ht="15" hidden="false" customHeight="true" outlineLevel="0" collapsed="false">
      <c r="A35" s="14" t="s">
        <v>144</v>
      </c>
      <c r="B35" s="12" t="n">
        <f aca="false">5/'Per-Transaction Costs'!B42</f>
        <v>2.97265160523187</v>
      </c>
      <c r="D35" s="3" t="s">
        <v>145</v>
      </c>
    </row>
    <row r="37" customFormat="false" ht="15" hidden="false" customHeight="true" outlineLevel="0" collapsed="false">
      <c r="A37" s="14" t="s">
        <v>146</v>
      </c>
      <c r="B37" s="12" t="n">
        <f aca="false">10/'Per-Transaction Costs'!B42</f>
        <v>5.94530321046373</v>
      </c>
      <c r="D37" s="3" t="s">
        <v>147</v>
      </c>
    </row>
    <row r="39" customFormat="false" ht="15" hidden="false" customHeight="true" outlineLevel="0" collapsed="false">
      <c r="A39" s="4" t="s">
        <v>148</v>
      </c>
      <c r="B39" s="4"/>
      <c r="C39" s="4"/>
      <c r="D39" s="4"/>
      <c r="E39" s="9" t="s">
        <v>149</v>
      </c>
    </row>
    <row r="40" customFormat="false" ht="15" hidden="false" customHeight="true" outlineLevel="0" collapsed="false">
      <c r="A40" s="14" t="s">
        <v>150</v>
      </c>
      <c r="B40" s="14" t="s">
        <v>151</v>
      </c>
      <c r="C40" s="14" t="s">
        <v>152</v>
      </c>
      <c r="D40" s="14" t="s">
        <v>153</v>
      </c>
      <c r="E40" s="14" t="s">
        <v>152</v>
      </c>
    </row>
    <row r="41" customFormat="false" ht="15" hidden="false" customHeight="true" outlineLevel="0" collapsed="false">
      <c r="A41" s="5" t="n">
        <v>10</v>
      </c>
      <c r="B41" s="13" t="n">
        <f aca="false">A41*0.029+0.3</f>
        <v>0.59</v>
      </c>
      <c r="C41" s="21" t="n">
        <f aca="false">B41/A41</f>
        <v>0.059</v>
      </c>
      <c r="D41" s="13" t="n">
        <f aca="false">2*(A41/3*0.029+0.3)</f>
        <v>0.793333333333333</v>
      </c>
      <c r="E41" s="21" t="n">
        <f aca="false">D41/A41</f>
        <v>0.0793333333333333</v>
      </c>
    </row>
    <row r="42" customFormat="false" ht="15" hidden="false" customHeight="true" outlineLevel="0" collapsed="false">
      <c r="A42" s="5" t="n">
        <v>25</v>
      </c>
      <c r="B42" s="13" t="n">
        <f aca="false">A42*0.029+0.3</f>
        <v>1.025</v>
      </c>
      <c r="C42" s="21" t="n">
        <f aca="false">B42/A42</f>
        <v>0.041</v>
      </c>
      <c r="D42" s="13" t="n">
        <f aca="false">2*(A42/3*0.029+0.3)</f>
        <v>1.08333333333333</v>
      </c>
      <c r="E42" s="21" t="n">
        <f aca="false">D42/A42</f>
        <v>0.0433333333333333</v>
      </c>
    </row>
    <row r="43" customFormat="false" ht="15" hidden="false" customHeight="true" outlineLevel="0" collapsed="false">
      <c r="A43" s="5" t="n">
        <v>50</v>
      </c>
      <c r="B43" s="13" t="n">
        <f aca="false">A43*0.029+0.3</f>
        <v>1.75</v>
      </c>
      <c r="C43" s="21" t="n">
        <f aca="false">B43/A43</f>
        <v>0.035</v>
      </c>
      <c r="D43" s="13" t="n">
        <f aca="false">2*(A43/3*0.029+0.3)</f>
        <v>1.56666666666667</v>
      </c>
      <c r="E43" s="21" t="n">
        <f aca="false">D43/A43</f>
        <v>0.0313333333333333</v>
      </c>
    </row>
    <row r="44" customFormat="false" ht="15" hidden="false" customHeight="true" outlineLevel="0" collapsed="false">
      <c r="A44" s="5" t="n">
        <v>75</v>
      </c>
      <c r="B44" s="13" t="n">
        <f aca="false">A44*0.029+0.3</f>
        <v>2.475</v>
      </c>
      <c r="C44" s="21" t="n">
        <f aca="false">B44/A44</f>
        <v>0.033</v>
      </c>
      <c r="D44" s="13" t="n">
        <f aca="false">2*(A44/3*0.029+0.3)</f>
        <v>2.05</v>
      </c>
      <c r="E44" s="21" t="n">
        <f aca="false">D44/A44</f>
        <v>0.0273333333333333</v>
      </c>
    </row>
    <row r="45" customFormat="false" ht="15" hidden="false" customHeight="true" outlineLevel="0" collapsed="false">
      <c r="A45" s="5" t="n">
        <v>100</v>
      </c>
      <c r="B45" s="13" t="n">
        <f aca="false">A45*0.029+0.3</f>
        <v>3.2</v>
      </c>
      <c r="C45" s="21" t="n">
        <f aca="false">B45/A45</f>
        <v>0.032</v>
      </c>
      <c r="D45" s="13" t="n">
        <f aca="false">2*(A45/3*0.029+0.3)</f>
        <v>2.53333333333333</v>
      </c>
      <c r="E45" s="21" t="n">
        <f aca="false">D45/A45</f>
        <v>0.0253333333333333</v>
      </c>
    </row>
    <row r="46" customFormat="false" ht="15" hidden="false" customHeight="true" outlineLevel="0" collapsed="false">
      <c r="A46" s="5" t="n">
        <v>200</v>
      </c>
      <c r="B46" s="13" t="n">
        <f aca="false">A46*0.029+0.3</f>
        <v>6.1</v>
      </c>
      <c r="C46" s="21" t="n">
        <f aca="false">B46/A46</f>
        <v>0.0305</v>
      </c>
      <c r="D46" s="13" t="n">
        <f aca="false">2*(A46/3*0.029+0.3)</f>
        <v>4.46666666666667</v>
      </c>
      <c r="E46" s="21" t="n">
        <f aca="false">D46/A46</f>
        <v>0.0223333333333333</v>
      </c>
    </row>
    <row r="47" customFormat="false" ht="15" hidden="false" customHeight="true" outlineLevel="0" collapsed="false">
      <c r="A47" s="5" t="n">
        <v>500</v>
      </c>
      <c r="B47" s="13" t="n">
        <f aca="false">A47*0.029+0.3</f>
        <v>14.8</v>
      </c>
      <c r="C47" s="21" t="n">
        <f aca="false">B47/A47</f>
        <v>0.0296</v>
      </c>
      <c r="D47" s="13" t="n">
        <f aca="false">2*(A47/3*0.029+0.3)</f>
        <v>10.2666666666667</v>
      </c>
      <c r="E47" s="21" t="n">
        <f aca="false">D47/A47</f>
        <v>0.0205333333333333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2" t="s">
        <v>154</v>
      </c>
    </row>
    <row r="3" customFormat="false" ht="15" hidden="false" customHeight="true" outlineLevel="0" collapsed="false">
      <c r="A3" s="29" t="s">
        <v>155</v>
      </c>
    </row>
    <row r="4" customFormat="false" ht="34.5" hidden="false" customHeight="true" outlineLevel="0" collapsed="false">
      <c r="A4" s="52" t="s">
        <v>156</v>
      </c>
    </row>
    <row r="6" customFormat="false" ht="15" hidden="false" customHeight="true" outlineLevel="0" collapsed="false">
      <c r="A6" s="29" t="s">
        <v>157</v>
      </c>
    </row>
    <row r="7" customFormat="false" ht="23.25" hidden="false" customHeight="true" outlineLevel="0" collapsed="false">
      <c r="A7" s="52" t="s">
        <v>158</v>
      </c>
    </row>
    <row r="9" customFormat="false" ht="15" hidden="false" customHeight="true" outlineLevel="0" collapsed="false">
      <c r="A9" s="29" t="s">
        <v>159</v>
      </c>
    </row>
    <row r="10" customFormat="false" ht="23.25" hidden="false" customHeight="true" outlineLevel="0" collapsed="false">
      <c r="A10" s="52" t="s">
        <v>160</v>
      </c>
    </row>
    <row r="12" customFormat="false" ht="15" hidden="false" customHeight="true" outlineLevel="0" collapsed="false">
      <c r="A12" s="29" t="s">
        <v>161</v>
      </c>
    </row>
    <row r="13" customFormat="false" ht="23.25" hidden="false" customHeight="true" outlineLevel="0" collapsed="false">
      <c r="A13" s="52" t="s">
        <v>162</v>
      </c>
    </row>
    <row r="15" customFormat="false" ht="15" hidden="false" customHeight="true" outlineLevel="0" collapsed="false">
      <c r="A15" s="29" t="s">
        <v>163</v>
      </c>
    </row>
    <row r="16" customFormat="false" ht="34.5" hidden="false" customHeight="true" outlineLevel="0" collapsed="false">
      <c r="A16" s="52" t="s">
        <v>164</v>
      </c>
    </row>
    <row r="18" customFormat="false" ht="15" hidden="false" customHeight="true" outlineLevel="0" collapsed="false">
      <c r="A18" s="29" t="s">
        <v>165</v>
      </c>
    </row>
    <row r="19" customFormat="false" ht="23.25" hidden="false" customHeight="true" outlineLevel="0" collapsed="false">
      <c r="A19" s="52" t="s">
        <v>166</v>
      </c>
    </row>
    <row r="21" customFormat="false" ht="15" hidden="false" customHeight="true" outlineLevel="0" collapsed="false">
      <c r="A21" s="29" t="s">
        <v>167</v>
      </c>
    </row>
    <row r="22" customFormat="false" ht="23.25" hidden="false" customHeight="true" outlineLevel="0" collapsed="false">
      <c r="A22" s="52" t="s">
        <v>168</v>
      </c>
    </row>
    <row r="24" customFormat="false" ht="15" hidden="false" customHeight="true" outlineLevel="0" collapsed="false">
      <c r="A24" s="29" t="s">
        <v>169</v>
      </c>
    </row>
    <row r="25" customFormat="false" ht="23.25" hidden="false" customHeight="true" outlineLevel="0" collapsed="false">
      <c r="A25" s="52" t="s">
        <v>170</v>
      </c>
    </row>
    <row r="27" customFormat="false" ht="15" hidden="false" customHeight="true" outlineLevel="0" collapsed="false">
      <c r="A27" s="29" t="s">
        <v>171</v>
      </c>
    </row>
    <row r="28" customFormat="false" ht="23.25" hidden="false" customHeight="true" outlineLevel="0" collapsed="false">
      <c r="A28" s="52" t="s">
        <v>172</v>
      </c>
    </row>
    <row r="30" customFormat="false" ht="15" hidden="false" customHeight="true" outlineLevel="0" collapsed="false">
      <c r="A30" s="29" t="s">
        <v>173</v>
      </c>
    </row>
    <row r="31" customFormat="false" ht="23.25" hidden="false" customHeight="true" outlineLevel="0" collapsed="false">
      <c r="A31" s="5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2026-03-12T01:35:38Z</dcterms:created>
  <dc:creator>openpyxl</dc:creator>
  <dc:description/>
  <dc:language>en-US</dc:language>
  <cp:lastModifiedBy/>
  <dcterms:modified xsi:type="dcterms:W3CDTF">2026-03-12T01:35:54Z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